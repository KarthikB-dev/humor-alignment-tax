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75aa01119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d Jokes" sheetId="1" r:id="R683c4290efa040a9"/>
    <x:sheet xmlns:r="http://schemas.openxmlformats.org/officeDocument/2006/relationships" name="Summary" sheetId="2" r:id="R4794aa6d6df5473c"/>
    <x:sheet xmlns:r="http://schemas.openxmlformats.org/officeDocument/2006/relationships" name="Rubric" sheetId="3" r:id="R52bc26f99108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7819e136c4e68" /><Relationship Type="http://schemas.openxmlformats.org/officeDocument/2006/relationships/theme" Target="/xl/theme/theme1.xml" Id="R8b539a65fbd149ac" /><Relationship Type="http://schemas.openxmlformats.org/officeDocument/2006/relationships/sharedStrings" Target="/xl/sharedStrings.xml" Id="R437e1a653df24c18" /><Relationship Type="http://schemas.openxmlformats.org/officeDocument/2006/relationships/worksheet" Target="/xl/worksheets/sheet1.xml" Id="R683c4290efa040a9" /><Relationship Type="http://schemas.openxmlformats.org/officeDocument/2006/relationships/worksheet" Target="/xl/worksheets/sheet2.xml" Id="R4794aa6d6df5473c" /><Relationship Type="http://schemas.openxmlformats.org/officeDocument/2006/relationships/worksheet" Target="/xl/worksheets/sheet3.xml" Id="R52bc26f991084ecc" /></Relationships>
</file>

<file path=xl/tables/table1.xml><?xml version="1.0" encoding="utf-8"?>
<x:table xmlns:x="http://schemas.openxmlformats.org/spreadsheetml/2006/main" id="1" name="ScoredJokesTable" displayName="ScoredJokesTable" ref="A1:N43" headerRowCount="1">
  <x:tableColumns count="14">
    <x:tableColumn id="1" name="generation_id"/>
    <x:tableColumn id="2" name="source_id"/>
    <x:tableColumn id="3" name="model"/>
    <x:tableColumn id="4" name="prompt_condition"/>
    <x:tableColumn id="5" name="output_headline"/>
    <x:tableColumn id="6" name="source_relevance"/>
    <x:tableColumn id="7" name="local_specificity"/>
    <x:tableColumn id="8" name="topic_nuance_target"/>
    <x:tableColumn id="9" name="satirical_bite"/>
    <x:tableColumn id="10" name="coherence_nonrandomness"/>
    <x:tableColumn id="11" name="failure_tags"/>
    <x:tableColumn id="12" name="notes"/>
    <x:tableColumn id="13" name="scorer"/>
    <x:tableColumn id="14" name="total_score"/>
  </x:tableColumns>
  <x:tableStyleInfo name="TableStyleMedium2" showRowStripes="1"/>
</x:table>
</file>

<file path=xl/tables/table2.xml><?xml version="1.0" encoding="utf-8"?>
<x:table xmlns:x="http://schemas.openxmlformats.org/spreadsheetml/2006/main" id="2" name="ModelSummaryTable" displayName="ModelSummaryTable" ref="A1:H4" headerRowCount="1">
  <x:tableColumns count="8">
    <x:tableColumn id="1" name="model"/>
    <x:tableColumn id="2" name="n"/>
    <x:tableColumn id="3" name="source_relevance"/>
    <x:tableColumn id="4" name="local_specificity"/>
    <x:tableColumn id="5" name="topic_nuance_target"/>
    <x:tableColumn id="6" name="satirical_bite"/>
    <x:tableColumn id="7" name="coherence_nonrandomness"/>
    <x:tableColumn id="8" name="avg_total_score"/>
  </x:tableColumns>
  <x:tableStyleInfo name="TableStyleMedium2" showRowStripes="1"/>
</x:table>
</file>

<file path=xl/tables/table3.xml><?xml version="1.0" encoding="utf-8"?>
<x:table xmlns:x="http://schemas.openxmlformats.org/spreadsheetml/2006/main" id="3" name="ConditionSummaryTable" displayName="ConditionSummaryTable" ref="A7:I14" headerRowCount="1">
  <x:tableColumns count="9">
    <x:tableColumn id="1" name="model"/>
    <x:tableColumn id="2" name="prompt_condition"/>
    <x:tableColumn id="3" name="n"/>
    <x:tableColumn id="4" name="source_relevance"/>
    <x:tableColumn id="5" name="local_specificity"/>
    <x:tableColumn id="6" name="topic_nuance_target"/>
    <x:tableColumn id="7" name="satirical_bite"/>
    <x:tableColumn id="8" name="coherence_nonrandomness"/>
    <x:tableColumn id="9" name="avg_total_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6ad039196e48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a12e917a7f4414" /><Relationship Type="http://schemas.openxmlformats.org/officeDocument/2006/relationships/table" Target="/xl/tables/table3.xml" Id="R9f49621e46864f2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22" hidden="0" customWidth="1"/>
    <x:col min="4" max="4" width="18" hidden="0" customWidth="1"/>
    <x:col min="5" max="5" width="62" hidden="0" customWidth="1"/>
    <x:col min="6" max="6" width="13" hidden="0" customWidth="1"/>
    <x:col min="7" max="7" width="13" hidden="0" customWidth="1"/>
    <x:col min="8" max="8" width="17" hidden="0" customWidth="1"/>
    <x:col min="9" max="9" width="13" hidden="0" customWidth="1"/>
    <x:col min="10" max="10" width="19" hidden="0" customWidth="1"/>
    <x:col min="11" max="11" width="32" hidden="0" customWidth="1"/>
    <x:col min="12" max="12" width="62" hidden="0" customWidth="1"/>
    <x:col min="13" max="13" width="18" hidden="0" customWidth="1"/>
    <x:col min="14" max="14" width="12" hidden="0" customWidth="1"/>
  </x:cols>
  <x:sheetData>
    <x:row r="1" ht="28" customHeight="1">
      <x:c r="A1" s="16" t="str">
        <x:v>generation_id</x:v>
      </x:c>
      <x:c r="B1" s="16" t="str">
        <x:v>source_id</x:v>
      </x:c>
      <x:c r="C1" s="16" t="str">
        <x:v>model</x:v>
      </x:c>
      <x:c r="D1" s="16" t="str">
        <x:v>prompt_condition</x:v>
      </x:c>
      <x:c r="E1" s="16" t="str">
        <x:v>output_headline</x:v>
      </x:c>
      <x:c r="F1" s="16" t="str">
        <x:v>source_relevance</x:v>
      </x:c>
      <x:c r="G1" s="16" t="str">
        <x:v>local_specificity</x:v>
      </x:c>
      <x:c r="H1" s="16" t="str">
        <x:v>topic_nuance_target</x:v>
      </x:c>
      <x:c r="I1" s="16" t="str">
        <x:v>satirical_bite</x:v>
      </x:c>
      <x:c r="J1" s="16" t="str">
        <x:v>coherence_nonrandomness</x:v>
      </x:c>
      <x:c r="K1" s="16" t="str">
        <x:v>failure_tags</x:v>
      </x:c>
      <x:c r="L1" s="16" t="str">
        <x:v>notes</x:v>
      </x:c>
      <x:c r="M1" s="16" t="str">
        <x:v>scorer</x:v>
      </x:c>
      <x:c r="N1" s="16" t="str">
        <x:v>total_score</x:v>
      </x:c>
    </x:row>
    <x:row r="2">
      <x:c r="A2" s="17" t="str">
        <x:v>local_satire_741e912618</x:v>
      </x:c>
      <x:c r="B2" s="17" t="str">
        <x:v>deltopia_alternative_001</x:v>
      </x:c>
      <x:c r="C2" s="17" t="str">
        <x:v>gemini-3.5-flash</x:v>
      </x:c>
      <x:c r="D2" s="17" t="str">
        <x:v>generic_issue</x:v>
      </x:c>
      <x:c r="E2" s="18" t="str">
        <x:v>Isla Vista Officials Hope To Recreate Magic Of Deltopia With Fenced-In Parking Lot, Two Food Trucks, And 9:00 PM Curfew</x:v>
      </x:c>
      <x:c r="F2" s="17" t="n">
        <x:v>5</x:v>
      </x:c>
      <x:c r="G2" s="17" t="n">
        <x:v>4</x:v>
      </x:c>
      <x:c r="H2" s="17" t="n">
        <x:v>4</x:v>
      </x:c>
      <x:c r="I2" s="17" t="n">
        <x:v>4</x:v>
      </x:c>
      <x:c r="J2" s="17" t="n">
        <x:v>5</x:v>
      </x:c>
      <x:c r="K2" s="18" t="str"/>
      <x:c r="L2" s="18" t="str">
        <x:v>Strong Deltopia/Soltopia control-vs-chaos frame; good concrete absurd details.</x:v>
      </x:c>
      <x:c r="M2" s="18" t="str">
        <x:v>gpt-5.5-thinking</x:v>
      </x:c>
      <x:c r="N2" s="17" t="n">
        <x:f>SUM(F2:J2)</x:f>
        <x:v>22</x:v>
      </x:c>
    </x:row>
    <x:row r="3">
      <x:c r="A3" s="17" t="str">
        <x:v>local_satire_52753cc1ac</x:v>
      </x:c>
      <x:c r="B3" s="17" t="str">
        <x:v>deltopia_alternative_001</x:v>
      </x:c>
      <x:c r="C3" s="17" t="str">
        <x:v>gemini-3.5-flash</x:v>
      </x:c>
      <x:c r="D3" s="17" t="str">
        <x:v>source_grounded</x:v>
      </x:c>
      <x:c r="E3" s="18" t="str">
        <x:v>Isla Vista Officials Confident $250,000 Government-Sanctioned ‘Novatopia’ Will Successfully Capture Carefree Spirit of Unregulated Street Party</x:v>
      </x:c>
      <x:c r="F3" s="17" t="n">
        <x:v>4</x:v>
      </x:c>
      <x:c r="G3" s="17" t="n">
        <x:v>5</x:v>
      </x:c>
      <x:c r="H3" s="17" t="n">
        <x:v>5</x:v>
      </x:c>
      <x:c r="I3" s="17" t="n">
        <x:v>4</x:v>
      </x:c>
      <x:c r="J3" s="17" t="n">
        <x:v>4</x:v>
      </x:c>
      <x:c r="K3" s="18" t="str">
        <x:v>hallucinated_local_detail</x:v>
      </x:c>
      <x:c r="L3" s="18" t="str">
        <x:v>Hits government-sanctioned replacement tension well, but 'Novatopia' appears unsupported by source context.</x:v>
      </x:c>
      <x:c r="M3" s="18" t="str">
        <x:v>gpt-5.5-thinking</x:v>
      </x:c>
      <x:c r="N3" s="17" t="n">
        <x:f>SUM(F3:J3)</x:f>
        <x:v>22</x:v>
      </x:c>
    </x:row>
    <x:row r="4">
      <x:c r="A4" s="17" t="str">
        <x:v>local_satire_cf4b8f09a1</x:v>
      </x:c>
      <x:c r="B4" s="17" t="str">
        <x:v>deltopia_alternative_001</x:v>
      </x:c>
      <x:c r="C4" s="17" t="str">
        <x:v>gemini-3.5-flash</x:v>
      </x:c>
      <x:c r="D4" s="17" t="str">
        <x:v>target_first_rank</x:v>
      </x:c>
      <x:c r="E4" s="18" t="str">
        <x:v>IVCSD Promises Proposed 'Novatopia' Festival Will Have All the Thrills of Deltopia Plus a $250,000 Wristband-Verification Queue</x:v>
      </x:c>
      <x:c r="F4" s="17" t="n">
        <x:v>4</x:v>
      </x:c>
      <x:c r="G4" s="17" t="n">
        <x:v>5</x:v>
      </x:c>
      <x:c r="H4" s="17" t="n">
        <x:v>5</x:v>
      </x:c>
      <x:c r="I4" s="17" t="n">
        <x:v>5</x:v>
      </x:c>
      <x:c r="J4" s="17" t="n">
        <x:v>4</x:v>
      </x:c>
      <x:c r="K4" s="18" t="str">
        <x:v>hallucinated_local_detail</x:v>
      </x:c>
      <x:c r="L4" s="18" t="str">
        <x:v>Best bureaucratic punchline in this source set; 'Novatopia' naming looks unsupported.</x:v>
      </x:c>
      <x:c r="M4" s="18" t="str">
        <x:v>gpt-5.5-thinking</x:v>
      </x:c>
      <x:c r="N4" s="17" t="n">
        <x:f>SUM(F4:J4)</x:f>
        <x:v>23</x:v>
      </x:c>
    </x:row>
    <x:row r="5">
      <x:c r="A5" s="17" t="str">
        <x:v>local_satire_cbb8a9277c</x:v>
      </x:c>
      <x:c r="B5" s="17" t="str">
        <x:v>deltopia_alternative_001</x:v>
      </x:c>
      <x:c r="C5" s="17" t="str">
        <x:v>gpt-5.4-mini</x:v>
      </x:c>
      <x:c r="D5" s="17" t="str">
        <x:v>generic_issue</x:v>
      </x:c>
      <x:c r="E5" s="18" t="str">
        <x:v>Isla Vista Officials Announce Safer, More Controlled Deltopia Where Students Can Still Make Terrible Decisions in Designated Areas</x:v>
      </x:c>
      <x:c r="F5" s="17" t="n">
        <x:v>5</x:v>
      </x:c>
      <x:c r="G5" s="17" t="n">
        <x:v>4</x:v>
      </x:c>
      <x:c r="H5" s="17" t="n">
        <x:v>4</x:v>
      </x:c>
      <x:c r="I5" s="17" t="n">
        <x:v>3</x:v>
      </x:c>
      <x:c r="J5" s="17" t="n">
        <x:v>5</x:v>
      </x:c>
      <x:c r="K5" s="18" t="str">
        <x:v>grounded_but_not_funny</x:v>
      </x:c>
      <x:c r="L5" s="18" t="str">
        <x:v>Clearly relevant, but the designated-areas gag is safer than sharp.</x:v>
      </x:c>
      <x:c r="M5" s="18" t="str">
        <x:v>gpt-5.5-thinking</x:v>
      </x:c>
      <x:c r="N5" s="17" t="n">
        <x:f>SUM(F5:J5)</x:f>
        <x:v>21</x:v>
      </x:c>
    </x:row>
    <x:row r="6">
      <x:c r="A6" s="17" t="str">
        <x:v>local_satire_6f68b8073b</x:v>
      </x:c>
      <x:c r="B6" s="17" t="str">
        <x:v>deltopia_alternative_001</x:v>
      </x:c>
      <x:c r="C6" s="17" t="str">
        <x:v>gpt-5.4-mini</x:v>
      </x:c>
      <x:c r="D6" s="17" t="str">
        <x:v>source_grounded</x:v>
      </x:c>
      <x:c r="E6" s="18" t="str">
        <x:v>Isla Vista Officials Unveil $250,000 Plan to Replace Deltopia With More Permitted Deltopia</x:v>
      </x:c>
      <x:c r="F6" s="17" t="n">
        <x:v>5</x:v>
      </x:c>
      <x:c r="G6" s="17" t="n">
        <x:v>5</x:v>
      </x:c>
      <x:c r="H6" s="17" t="n">
        <x:v>5</x:v>
      </x:c>
      <x:c r="I6" s="17" t="n">
        <x:v>4</x:v>
      </x:c>
      <x:c r="J6" s="17" t="n">
        <x:v>5</x:v>
      </x:c>
      <x:c r="K6" s="18" t="str"/>
      <x:c r="L6" s="18" t="str">
        <x:v>Clean compact target: permitted imitation of an unpermitted tradition.</x:v>
      </x:c>
      <x:c r="M6" s="18" t="str">
        <x:v>gpt-5.5-thinking</x:v>
      </x:c>
      <x:c r="N6" s="17" t="n">
        <x:f>SUM(F6:J6)</x:f>
        <x:v>24</x:v>
      </x:c>
    </x:row>
    <x:row r="7">
      <x:c r="A7" s="17" t="str">
        <x:v>local_satire_5ddb8d52ff</x:v>
      </x:c>
      <x:c r="B7" s="17" t="str">
        <x:v>deltopia_alternative_001</x:v>
      </x:c>
      <x:c r="C7" s="17" t="str">
        <x:v>gpt-5.4-mini</x:v>
      </x:c>
      <x:c r="D7" s="17" t="str">
        <x:v>target_first_rank</x:v>
      </x:c>
      <x:c r="E7" s="18" t="str">
        <x:v>Isla Vista Officials Announce Deltopia Replacement That Is Somehow Even More Organized, Expensive, and Deltopia-Like</x:v>
      </x:c>
      <x:c r="F7" s="17" t="n">
        <x:v>5</x:v>
      </x:c>
      <x:c r="G7" s="17" t="n">
        <x:v>4</x:v>
      </x:c>
      <x:c r="H7" s="17" t="n">
        <x:v>4</x:v>
      </x:c>
      <x:c r="I7" s="17" t="n">
        <x:v>4</x:v>
      </x:c>
      <x:c r="J7" s="17" t="n">
        <x:v>5</x:v>
      </x:c>
      <x:c r="K7" s="18" t="str"/>
      <x:c r="L7" s="18" t="str">
        <x:v>Coherent and relevant; less locally textured than the best Deltopia entries.</x:v>
      </x:c>
      <x:c r="M7" s="18" t="str">
        <x:v>gpt-5.5-thinking</x:v>
      </x:c>
      <x:c r="N7" s="17" t="n">
        <x:f>SUM(F7:J7)</x:f>
        <x:v>22</x:v>
      </x:c>
    </x:row>
    <x:row r="8">
      <x:c r="A8" s="17" t="str">
        <x:v>local_satire_62380deb8a</x:v>
      </x:c>
      <x:c r="B8" s="17" t="str">
        <x:v>ucsb_bear_sighting_001</x:v>
      </x:c>
      <x:c r="C8" s="17" t="str">
        <x:v>gemini-3.5-flash</x:v>
      </x:c>
      <x:c r="D8" s="17" t="str">
        <x:v>generic_issue</x:v>
      </x:c>
      <x:c r="E8" s="18" t="str">
        <x:v>UCSB Administrators Assure Students That Bear Sighted Near Campus Lacks the GPA Required to Enter Davidson Library</x:v>
      </x:c>
      <x:c r="F8" s="17" t="n">
        <x:v>3</x:v>
      </x:c>
      <x:c r="G8" s="17" t="n">
        <x:v>5</x:v>
      </x:c>
      <x:c r="H8" s="17" t="n">
        <x:v>3</x:v>
      </x:c>
      <x:c r="I8" s="17" t="n">
        <x:v>4</x:v>
      </x:c>
      <x:c r="J8" s="17" t="n">
        <x:v>4</x:v>
      </x:c>
      <x:c r="K8" s="18" t="str">
        <x:v>funny_but_not_grounded,misses_source_tension</x:v>
      </x:c>
      <x:c r="L8" s="18" t="str">
        <x:v>Funny campus-specific misdirection, but bear/GPA/library is mostly detached from the actual bear-alert tension.</x:v>
      </x:c>
      <x:c r="M8" s="18" t="str">
        <x:v>gpt-5.5-thinking</x:v>
      </x:c>
      <x:c r="N8" s="17" t="n">
        <x:f>SUM(F8:J8)</x:f>
        <x:v>19</x:v>
      </x:c>
    </x:row>
    <x:row r="9">
      <x:c r="A9" s="17" t="str">
        <x:v>local_satire_f55ff3cd95</x:v>
      </x:c>
      <x:c r="B9" s="17" t="str">
        <x:v>ucsb_bear_sighting_001</x:v>
      </x:c>
      <x:c r="C9" s="17" t="str">
        <x:v>gemini-3.5-flash</x:v>
      </x:c>
      <x:c r="D9" s="17" t="str">
        <x:v>source_grounded</x:v>
      </x:c>
      <x:c r="E9" s="18" t="str">
        <x:v>UCSB Emergency Alert Warns Students To Treat Bear With Same Avoidance Tactics Used For Campus Recruiters</x:v>
      </x:c>
      <x:c r="F9" s="17" t="n">
        <x:v>4</x:v>
      </x:c>
      <x:c r="G9" s="17" t="n">
        <x:v>4</x:v>
      </x:c>
      <x:c r="H9" s="17" t="n">
        <x:v>3</x:v>
      </x:c>
      <x:c r="I9" s="17" t="n">
        <x:v>4</x:v>
      </x:c>
      <x:c r="J9" s="17" t="n">
        <x:v>4</x:v>
      </x:c>
      <x:c r="K9" s="18" t="str"/>
      <x:c r="L9" s="18" t="str">
        <x:v>Bear-alert frame lands; campus-recruiter comparison is funny but not very source-specific.</x:v>
      </x:c>
      <x:c r="M9" s="18" t="str">
        <x:v>gpt-5.5-thinking</x:v>
      </x:c>
      <x:c r="N9" s="17" t="n">
        <x:f>SUM(F9:J9)</x:f>
        <x:v>19</x:v>
      </x:c>
    </x:row>
    <x:row r="10">
      <x:c r="A10" s="17" t="str">
        <x:v>local_satire_a5d4395858</x:v>
      </x:c>
      <x:c r="B10" s="17" t="str">
        <x:v>ucsb_bear_sighting_001</x:v>
      </x:c>
      <x:c r="C10" s="17" t="str">
        <x:v>gemini-3.5-flash</x:v>
      </x:c>
      <x:c r="D10" s="17" t="str">
        <x:v>target_first_rank</x:v>
      </x:c>
      <x:c r="E10" s="18" t="str">
        <x:v>UCPD Warns Students Facing Black Bear Near Pollock Theater To Make Themselves Look Like A Large, Threatening Midterm Curve**</x:v>
      </x:c>
      <x:c r="F10" s="17" t="n">
        <x:v>5</x:v>
      </x:c>
      <x:c r="G10" s="17" t="n">
        <x:v>5</x:v>
      </x:c>
      <x:c r="H10" s="17" t="n">
        <x:v>3</x:v>
      </x:c>
      <x:c r="I10" s="17" t="n">
        <x:v>3</x:v>
      </x:c>
      <x:c r="J10" s="17" t="n">
        <x:v>3</x:v>
      </x:c>
      <x:c r="K10" s="18" t="str">
        <x:v>random_absurdity</x:v>
      </x:c>
      <x:c r="L10" s="18" t="str">
        <x:v>Pollock detail grounds it, but 'large threatening midterm curve' is strained and has formatting artifact.</x:v>
      </x:c>
      <x:c r="M10" s="18" t="str">
        <x:v>gpt-5.5-thinking</x:v>
      </x:c>
      <x:c r="N10" s="17" t="n">
        <x:f>SUM(F10:J10)</x:f>
        <x:v>19</x:v>
      </x:c>
    </x:row>
    <x:row r="11">
      <x:c r="A11" s="17" t="str">
        <x:v>local_satire_cc047b1f97</x:v>
      </x:c>
      <x:c r="B11" s="17" t="str">
        <x:v>ucsb_bear_sighting_001</x:v>
      </x:c>
      <x:c r="C11" s="17" t="str">
        <x:v>gpt-5.4-mini</x:v>
      </x:c>
      <x:c r="D11" s="17" t="str">
        <x:v>generic_issue</x:v>
      </x:c>
      <x:c r="E11" s="18" t="str">
        <x:v>UCSB Issues Bear Alert, Reassures Students the Real Danger Is Still Finding Parking in Goleta</x:v>
      </x:c>
      <x:c r="F11" s="17" t="n">
        <x:v>3</x:v>
      </x:c>
      <x:c r="G11" s="17" t="n">
        <x:v>4</x:v>
      </x:c>
      <x:c r="H11" s="17" t="n">
        <x:v>2</x:v>
      </x:c>
      <x:c r="I11" s="17" t="n">
        <x:v>3</x:v>
      </x:c>
      <x:c r="J11" s="17" t="n">
        <x:v>4</x:v>
      </x:c>
      <x:c r="K11" s="18" t="str">
        <x:v>misses_source_tension</x:v>
      </x:c>
      <x:c r="L11" s="18" t="str">
        <x:v>Uses bear as setup for an IV parking tangent; coherent but not really about the bear story.</x:v>
      </x:c>
      <x:c r="M11" s="18" t="str">
        <x:v>gpt-5.5-thinking</x:v>
      </x:c>
      <x:c r="N11" s="17" t="n">
        <x:f>SUM(F11:J11)</x:f>
        <x:v>16</x:v>
      </x:c>
    </x:row>
    <x:row r="12">
      <x:c r="A12" s="17" t="str">
        <x:v>local_satire_833c2ed954</x:v>
      </x:c>
      <x:c r="B12" s="17" t="str">
        <x:v>ucsb_bear_sighting_001</x:v>
      </x:c>
      <x:c r="C12" s="17" t="str">
        <x:v>gpt-5.4-mini</x:v>
      </x:c>
      <x:c r="D12" s="17" t="str">
        <x:v>source_grounded</x:v>
      </x:c>
      <x:c r="E12" s="18" t="str">
        <x:v>UCSB Sends Bear Emergency Alert, Urges Students to Stand Tall and Act Like They’ve Seen a Syllabus</x:v>
      </x:c>
      <x:c r="F12" s="17" t="n">
        <x:v>4</x:v>
      </x:c>
      <x:c r="G12" s="17" t="n">
        <x:v>3</x:v>
      </x:c>
      <x:c r="H12" s="17" t="n">
        <x:v>3</x:v>
      </x:c>
      <x:c r="I12" s="17" t="n">
        <x:v>3</x:v>
      </x:c>
      <x:c r="J12" s="17" t="n">
        <x:v>4</x:v>
      </x:c>
      <x:c r="K12" s="18" t="str">
        <x:v>grounded_but_not_funny</x:v>
      </x:c>
      <x:c r="L12" s="18" t="str">
        <x:v>Source-relevant emergency-alert structure, but the syllabus joke feels generic.</x:v>
      </x:c>
      <x:c r="M12" s="18" t="str">
        <x:v>gpt-5.5-thinking</x:v>
      </x:c>
      <x:c r="N12" s="17" t="n">
        <x:f>SUM(F12:J12)</x:f>
        <x:v>17</x:v>
      </x:c>
    </x:row>
    <x:row r="13">
      <x:c r="A13" s="17" t="str">
        <x:v>local_satire_d96fe5a912</x:v>
      </x:c>
      <x:c r="B13" s="17" t="str">
        <x:v>ucsb_bear_sighting_001</x:v>
      </x:c>
      <x:c r="C13" s="17" t="str">
        <x:v>gpt-5.4-mini</x:v>
      </x:c>
      <x:c r="D13" s="17" t="str">
        <x:v>target_first_rank</x:v>
      </x:c>
      <x:c r="E13" s="18" t="str">
        <x:v>UCSB Issues Emergency Alert, Then Realizes It’s Just a Bear Trying to Find Pollock Theater</x:v>
      </x:c>
      <x:c r="F13" s="17" t="n">
        <x:v>5</x:v>
      </x:c>
      <x:c r="G13" s="17" t="n">
        <x:v>5</x:v>
      </x:c>
      <x:c r="H13" s="17" t="n">
        <x:v>2</x:v>
      </x:c>
      <x:c r="I13" s="17" t="n">
        <x:v>3</x:v>
      </x:c>
      <x:c r="J13" s="17" t="n">
        <x:v>4</x:v>
      </x:c>
      <x:c r="K13" s="18" t="str">
        <x:v>grounded_but_not_funny</x:v>
      </x:c>
      <x:c r="L13" s="18" t="str">
        <x:v>Pollock Theater localizes it well; mostly a cute observation rather than satire.</x:v>
      </x:c>
      <x:c r="M13" s="18" t="str">
        <x:v>gpt-5.5-thinking</x:v>
      </x:c>
      <x:c r="N13" s="17" t="n">
        <x:f>SUM(F13:J13)</x:f>
        <x:v>19</x:v>
      </x:c>
    </x:row>
    <x:row r="14">
      <x:c r="A14" s="17" t="str">
        <x:v>local_satire_64fa8c88a4</x:v>
      </x:c>
      <x:c r="B14" s="17" t="str">
        <x:v>jesus_burgers_001</x:v>
      </x:c>
      <x:c r="C14" s="17" t="str">
        <x:v>gemini-3.5-flash</x:v>
      </x:c>
      <x:c r="D14" s="17" t="str">
        <x:v>generic_issue</x:v>
      </x:c>
      <x:c r="E14" s="18" t="str">
        <x:v>Local Sophomore Only Accepts Jesus Christ as Savior Between Hours of 11:00 PM and 2:00 AM on Friday Nights**</x:v>
      </x:c>
      <x:c r="F14" s="17" t="n">
        <x:v>5</x:v>
      </x:c>
      <x:c r="G14" s="17" t="n">
        <x:v>4</x:v>
      </x:c>
      <x:c r="H14" s="17" t="n">
        <x:v>5</x:v>
      </x:c>
      <x:c r="I14" s="17" t="n">
        <x:v>5</x:v>
      </x:c>
      <x:c r="J14" s="17" t="n">
        <x:v>5</x:v>
      </x:c>
      <x:c r="K14" s="18" t="str"/>
      <x:c r="L14" s="18" t="str">
        <x:v>Very strong transaction-of-faith joke; extra trailing asterisks are only a presentation artifact.</x:v>
      </x:c>
      <x:c r="M14" s="18" t="str">
        <x:v>gpt-5.5-thinking</x:v>
      </x:c>
      <x:c r="N14" s="17" t="n">
        <x:f>SUM(F14:J14)</x:f>
        <x:v>24</x:v>
      </x:c>
    </x:row>
    <x:row r="15">
      <x:c r="A15" s="17" t="str">
        <x:v>local_satire_1d93e3658f</x:v>
      </x:c>
      <x:c r="B15" s="17" t="str">
        <x:v>jesus_burgers_001</x:v>
      </x:c>
      <x:c r="C15" s="17" t="str">
        <x:v>gemini-3.5-flash</x:v>
      </x:c>
      <x:c r="D15" s="17" t="str">
        <x:v>source_grounded</x:v>
      </x:c>
      <x:c r="E15" s="18" t="str">
        <x:v>Local Christian Group Trying To Save Souls By Giving Drunk UCSB Students The Only Thing They Actually Care About</x:v>
      </x:c>
      <x:c r="F15" s="17" t="n">
        <x:v>5</x:v>
      </x:c>
      <x:c r="G15" s="17" t="n">
        <x:v>4</x:v>
      </x:c>
      <x:c r="H15" s="17" t="n">
        <x:v>5</x:v>
      </x:c>
      <x:c r="I15" s="17" t="n">
        <x:v>4</x:v>
      </x:c>
      <x:c r="J15" s="17" t="n">
        <x:v>5</x:v>
      </x:c>
      <x:c r="K15" s="18" t="str"/>
      <x:c r="L15" s="18" t="str">
        <x:v>Clear target: evangelism meets drunk-student incentives.</x:v>
      </x:c>
      <x:c r="M15" s="18" t="str">
        <x:v>gpt-5.5-thinking</x:v>
      </x:c>
      <x:c r="N15" s="17" t="n">
        <x:f>SUM(F15:J15)</x:f>
        <x:v>23</x:v>
      </x:c>
    </x:row>
    <x:row r="16">
      <x:c r="A16" s="17" t="str">
        <x:v>local_satire_6738a94882</x:v>
      </x:c>
      <x:c r="B16" s="17" t="str">
        <x:v>jesus_burgers_001</x:v>
      </x:c>
      <x:c r="C16" s="17" t="str">
        <x:v>gemini-3.5-flash</x:v>
      </x:c>
      <x:c r="D16" s="17" t="str">
        <x:v>target_first_rank</x:v>
      </x:c>
      <x:c r="E16" s="18" t="str">
        <x:v>Local Student Not Entirely Sure If He Accepted Jesus Christ As His Savior Or Just Really Wanted A Slice Of American Cheese</x:v>
      </x:c>
      <x:c r="F16" s="17" t="n">
        <x:v>5</x:v>
      </x:c>
      <x:c r="G16" s="17" t="n">
        <x:v>4</x:v>
      </x:c>
      <x:c r="H16" s="17" t="n">
        <x:v>5</x:v>
      </x:c>
      <x:c r="I16" s="17" t="n">
        <x:v>5</x:v>
      </x:c>
      <x:c r="J16" s="17" t="n">
        <x:v>5</x:v>
      </x:c>
      <x:c r="K16" s="18" t="str"/>
      <x:c r="L16" s="18" t="str">
        <x:v>Sharpest Jesus Burgers model entry; strong ambiguity between conversion and cheese craving.</x:v>
      </x:c>
      <x:c r="M16" s="18" t="str">
        <x:v>gpt-5.5-thinking</x:v>
      </x:c>
      <x:c r="N16" s="17" t="n">
        <x:f>SUM(F16:J16)</x:f>
        <x:v>24</x:v>
      </x:c>
    </x:row>
    <x:row r="17">
      <x:c r="A17" s="17" t="str">
        <x:v>local_satire_d68625d83e</x:v>
      </x:c>
      <x:c r="B17" s="17" t="str">
        <x:v>jesus_burgers_001</x:v>
      </x:c>
      <x:c r="C17" s="17" t="str">
        <x:v>gpt-5.4-mini</x:v>
      </x:c>
      <x:c r="D17" s="17" t="str">
        <x:v>generic_issue</x:v>
      </x:c>
      <x:c r="E17" s="18" t="str">
        <x:v>Jesus Burgers Tradition Helps Isla Vista Students Find God, Free Food, and A Reason to Stay on Del Playa Until 2 A.M.</x:v>
      </x:c>
      <x:c r="F17" s="17" t="n">
        <x:v>5</x:v>
      </x:c>
      <x:c r="G17" s="17" t="n">
        <x:v>5</x:v>
      </x:c>
      <x:c r="H17" s="17" t="n">
        <x:v>4</x:v>
      </x:c>
      <x:c r="I17" s="17" t="n">
        <x:v>4</x:v>
      </x:c>
      <x:c r="J17" s="17" t="n">
        <x:v>5</x:v>
      </x:c>
      <x:c r="K17" s="18" t="str"/>
      <x:c r="L17" s="18" t="str">
        <x:v>Good Del Playa local grounding and coherent tradition/nightlife joke.</x:v>
      </x:c>
      <x:c r="M17" s="18" t="str">
        <x:v>gpt-5.5-thinking</x:v>
      </x:c>
      <x:c r="N17" s="17" t="n">
        <x:f>SUM(F17:J17)</x:f>
        <x:v>23</x:v>
      </x:c>
    </x:row>
    <x:row r="18">
      <x:c r="A18" s="17" t="str">
        <x:v>local_satire_32571de8ae</x:v>
      </x:c>
      <x:c r="B18" s="17" t="str">
        <x:v>jesus_burgers_001</x:v>
      </x:c>
      <x:c r="C18" s="17" t="str">
        <x:v>gpt-5.4-mini</x:v>
      </x:c>
      <x:c r="D18" s="17" t="str">
        <x:v>source_grounded</x:v>
      </x:c>
      <x:c r="E18" s="18" t="str">
        <x:v>Isla Vista’s Friday-Night Economy Now Powered by Free Burgers, Blessings and Regrettable Decisions</x:v>
      </x:c>
      <x:c r="F18" s="17" t="n">
        <x:v>5</x:v>
      </x:c>
      <x:c r="G18" s="17" t="n">
        <x:v>4</x:v>
      </x:c>
      <x:c r="H18" s="17" t="n">
        <x:v>4</x:v>
      </x:c>
      <x:c r="I18" s="17" t="n">
        <x:v>4</x:v>
      </x:c>
      <x:c r="J18" s="17" t="n">
        <x:v>5</x:v>
      </x:c>
      <x:c r="K18" s="18" t="str"/>
      <x:c r="L18" s="18" t="str">
        <x:v>Well-grounded in food/blessing/regret economy; solid but less pointed.</x:v>
      </x:c>
      <x:c r="M18" s="18" t="str">
        <x:v>gpt-5.5-thinking</x:v>
      </x:c>
      <x:c r="N18" s="17" t="n">
        <x:f>SUM(F18:J18)</x:f>
        <x:v>22</x:v>
      </x:c>
    </x:row>
    <x:row r="19">
      <x:c r="A19" s="17" t="str">
        <x:v>local_satire_d0997ca802</x:v>
      </x:c>
      <x:c r="B19" s="17" t="str">
        <x:v>jesus_burgers_001</x:v>
      </x:c>
      <x:c r="C19" s="17" t="str">
        <x:v>gpt-5.4-mini</x:v>
      </x:c>
      <x:c r="D19" s="17" t="str">
        <x:v>target_first_rank</x:v>
      </x:c>
      <x:c r="E19" s="18" t="str">
        <x:v>Jesus Burgers Now Most Reliable Thing On Del Playa Besides Regret, Hunger, And A Free Blessing</x:v>
      </x:c>
      <x:c r="F19" s="17" t="n">
        <x:v>5</x:v>
      </x:c>
      <x:c r="G19" s="17" t="n">
        <x:v>5</x:v>
      </x:c>
      <x:c r="H19" s="17" t="n">
        <x:v>4</x:v>
      </x:c>
      <x:c r="I19" s="17" t="n">
        <x:v>5</x:v>
      </x:c>
      <x:c r="J19" s="17" t="n">
        <x:v>5</x:v>
      </x:c>
      <x:c r="K19" s="18" t="str"/>
      <x:c r="L19" s="18" t="str">
        <x:v>Compact, locally grounded, and punchy.</x:v>
      </x:c>
      <x:c r="M19" s="18" t="str">
        <x:v>gpt-5.5-thinking</x:v>
      </x:c>
      <x:c r="N19" s="17" t="n">
        <x:f>SUM(F19:J19)</x:f>
        <x:v>24</x:v>
      </x:c>
    </x:row>
    <x:row r="20">
      <x:c r="A20" s="17" t="str">
        <x:v>local_satire_fb68717cb4</x:v>
      </x:c>
      <x:c r="B20" s="17" t="str">
        <x:v>iv_parking_compliance_001</x:v>
      </x:c>
      <x:c r="C20" s="17" t="str">
        <x:v>gemini-3.5-flash</x:v>
      </x:c>
      <x:c r="D20" s="17" t="str">
        <x:v>generic_issue</x:v>
      </x:c>
      <x:c r="E20" s="18" t="str">
        <x:v>Isla Vista Student Ready to Risk $150 Street-Sweeping Ticket Just to See What Happens to Tina the Toad in the Tow Yard</x:v>
      </x:c>
      <x:c r="F20" s="17" t="n">
        <x:v>3</x:v>
      </x:c>
      <x:c r="G20" s="17" t="n">
        <x:v>5</x:v>
      </x:c>
      <x:c r="H20" s="17" t="n">
        <x:v>3</x:v>
      </x:c>
      <x:c r="I20" s="17" t="n">
        <x:v>4</x:v>
      </x:c>
      <x:c r="J20" s="17" t="n">
        <x:v>3</x:v>
      </x:c>
      <x:c r="K20" s="18" t="str">
        <x:v>hallucinated_local_detail,misses_source_tension</x:v>
      </x:c>
      <x:c r="L20" s="18" t="str">
        <x:v>Tina grounds it, but street-sweeping/$150/tow-yard details drift from the parking-compliance source.</x:v>
      </x:c>
      <x:c r="M20" s="18" t="str">
        <x:v>gpt-5.5-thinking</x:v>
      </x:c>
      <x:c r="N20" s="17" t="n">
        <x:f>SUM(F20:J20)</x:f>
        <x:v>18</x:v>
      </x:c>
    </x:row>
    <x:row r="21">
      <x:c r="A21" s="17" t="str">
        <x:v>local_satire_7c2f725e1f</x:v>
      </x:c>
      <x:c r="B21" s="17" t="str">
        <x:v>iv_parking_compliance_001</x:v>
      </x:c>
      <x:c r="C21" s="17" t="str">
        <x:v>gemini-3.5-flash</x:v>
      </x:c>
      <x:c r="D21" s="17" t="str">
        <x:v>source_grounded</x:v>
      </x:c>
      <x:c r="E21" s="18" t="str">
        <x:v>Isla Vista Hopes Cute Gen Z Mascot Will Soften Blow of Getting Ticketed to Fund Her Own Salary</x:v>
      </x:c>
      <x:c r="F21" s="17" t="n">
        <x:v>5</x:v>
      </x:c>
      <x:c r="G21" s="17" t="n">
        <x:v>4</x:v>
      </x:c>
      <x:c r="H21" s="17" t="n">
        <x:v>5</x:v>
      </x:c>
      <x:c r="I21" s="17" t="n">
        <x:v>4</x:v>
      </x:c>
      <x:c r="J21" s="17" t="n">
        <x:v>5</x:v>
      </x:c>
      <x:c r="K21" s="18" t="str"/>
      <x:c r="L21" s="18" t="str">
        <x:v>Good PR/enforcement target: cute mascot softening fines.</x:v>
      </x:c>
      <x:c r="M21" s="18" t="str">
        <x:v>gpt-5.5-thinking</x:v>
      </x:c>
      <x:c r="N21" s="17" t="n">
        <x:f>SUM(F21:J21)</x:f>
        <x:v>23</x:v>
      </x:c>
    </x:row>
    <x:row r="22">
      <x:c r="A22" s="17" t="str">
        <x:v>local_satire_c63afbd4ca</x:v>
      </x:c>
      <x:c r="B22" s="17" t="str">
        <x:v>iv_parking_compliance_001</x:v>
      </x:c>
      <x:c r="C22" s="17" t="str">
        <x:v>gemini-3.5-flash</x:v>
      </x:c>
      <x:c r="D22" s="17" t="str">
        <x:v>target_first_rank</x:v>
      </x:c>
      <x:c r="E22" s="18" t="str">
        <x:v>Friendly Gen-Z Toad Mascot Deployed to Gently Explain Why Your Car Is Being Towed to Finance Her Salary**</x:v>
      </x:c>
      <x:c r="F22" s="17" t="n">
        <x:v>5</x:v>
      </x:c>
      <x:c r="G22" s="17" t="n">
        <x:v>4</x:v>
      </x:c>
      <x:c r="H22" s="17" t="n">
        <x:v>5</x:v>
      </x:c>
      <x:c r="I22" s="17" t="n">
        <x:v>4</x:v>
      </x:c>
      <x:c r="J22" s="17" t="n">
        <x:v>4</x:v>
      </x:c>
      <x:c r="K22" s="18" t="str"/>
      <x:c r="L22" s="18" t="str">
        <x:v>Strong enforcement-finance joke; trailing asterisks are a presentation artifact.</x:v>
      </x:c>
      <x:c r="M22" s="18" t="str">
        <x:v>gpt-5.5-thinking</x:v>
      </x:c>
      <x:c r="N22" s="17" t="n">
        <x:f>SUM(F22:J22)</x:f>
        <x:v>22</x:v>
      </x:c>
    </x:row>
    <x:row r="23">
      <x:c r="A23" s="17" t="str">
        <x:v>local_satire_c54227fc15</x:v>
      </x:c>
      <x:c r="B23" s="17" t="str">
        <x:v>iv_parking_compliance_001</x:v>
      </x:c>
      <x:c r="C23" s="17" t="str">
        <x:v>gpt-5.4-mini</x:v>
      </x:c>
      <x:c r="D23" s="17" t="str">
        <x:v>generic_issue</x:v>
      </x:c>
      <x:c r="E23" s="18" t="str">
        <x:v>Isla Vista Launches Parking Compliance Program, Deploys Tina the Toad to Guilt Students Into Moving Their Cars Every 72 Hours</x:v>
      </x:c>
      <x:c r="F23" s="17" t="n">
        <x:v>5</x:v>
      </x:c>
      <x:c r="G23" s="17" t="n">
        <x:v>5</x:v>
      </x:c>
      <x:c r="H23" s="17" t="n">
        <x:v>4</x:v>
      </x:c>
      <x:c r="I23" s="17" t="n">
        <x:v>4</x:v>
      </x:c>
      <x:c r="J23" s="17" t="n">
        <x:v>5</x:v>
      </x:c>
      <x:c r="K23" s="18" t="str"/>
      <x:c r="L23" s="18" t="str">
        <x:v>Very source-faithful 72-hour/Tina framing; more explanatory than surprising.</x:v>
      </x:c>
      <x:c r="M23" s="18" t="str">
        <x:v>gpt-5.5-thinking</x:v>
      </x:c>
      <x:c r="N23" s="17" t="n">
        <x:f>SUM(F23:J23)</x:f>
        <x:v>23</x:v>
      </x:c>
    </x:row>
    <x:row r="24">
      <x:c r="A24" s="17" t="str">
        <x:v>local_satire_b3161c70e5</x:v>
      </x:c>
      <x:c r="B24" s="17" t="str">
        <x:v>iv_parking_compliance_001</x:v>
      </x:c>
      <x:c r="C24" s="17" t="str">
        <x:v>gpt-5.4-mini</x:v>
      </x:c>
      <x:c r="D24" s="17" t="str">
        <x:v>source_grounded</x:v>
      </x:c>
      <x:c r="E24" s="18" t="str">
        <x:v>Isla Vista Parking Crisis Solved by Gen Z Toad Who Will Politely Ticket You Into Compliance</x:v>
      </x:c>
      <x:c r="F24" s="17" t="n">
        <x:v>5</x:v>
      </x:c>
      <x:c r="G24" s="17" t="n">
        <x:v>5</x:v>
      </x:c>
      <x:c r="H24" s="17" t="n">
        <x:v>4</x:v>
      </x:c>
      <x:c r="I24" s="17" t="n">
        <x:v>4</x:v>
      </x:c>
      <x:c r="J24" s="17" t="n">
        <x:v>5</x:v>
      </x:c>
      <x:c r="K24" s="18" t="str"/>
      <x:c r="L24" s="18" t="str">
        <x:v>Good concise version of the mascot-compliance tension.</x:v>
      </x:c>
      <x:c r="M24" s="18" t="str">
        <x:v>gpt-5.5-thinking</x:v>
      </x:c>
      <x:c r="N24" s="17" t="n">
        <x:f>SUM(F24:J24)</x:f>
        <x:v>23</x:v>
      </x:c>
    </x:row>
    <x:row r="25">
      <x:c r="A25" s="17" t="str">
        <x:v>local_satire_fb35558092</x:v>
      </x:c>
      <x:c r="B25" s="17" t="str">
        <x:v>iv_parking_compliance_001</x:v>
      </x:c>
      <x:c r="C25" s="17" t="str">
        <x:v>gpt-5.4-mini</x:v>
      </x:c>
      <x:c r="D25" s="17" t="str">
        <x:v>target_first_rank</x:v>
      </x:c>
      <x:c r="E25" s="18" t="str">
        <x:v>Isla Vista Launches Gen Z Toad Mascot To Explain Why Your Car Is Still Getting Ticketed</x:v>
      </x:c>
      <x:c r="F25" s="17" t="n">
        <x:v>5</x:v>
      </x:c>
      <x:c r="G25" s="17" t="n">
        <x:v>4</x:v>
      </x:c>
      <x:c r="H25" s="17" t="n">
        <x:v>4</x:v>
      </x:c>
      <x:c r="I25" s="17" t="n">
        <x:v>3</x:v>
      </x:c>
      <x:c r="J25" s="17" t="n">
        <x:v>5</x:v>
      </x:c>
      <x:c r="K25" s="18" t="str">
        <x:v>grounded_but_not_funny</x:v>
      </x:c>
      <x:c r="L25" s="18" t="str">
        <x:v>Accurate and coherent, but close to a plain joke-template restatement.</x:v>
      </x:c>
      <x:c r="M25" s="18" t="str">
        <x:v>gpt-5.5-thinking</x:v>
      </x:c>
      <x:c r="N25" s="17" t="n">
        <x:f>SUM(F25:J25)</x:f>
        <x:v>21</x:v>
      </x:c>
    </x:row>
    <x:row r="26">
      <x:c r="A26" s="17" t="str">
        <x:v>local_satire_90dfceec46</x:v>
      </x:c>
      <x:c r="B26" s="17" t="str">
        <x:v>ucsb_commencement_reversal_001</x:v>
      </x:c>
      <x:c r="C26" s="17" t="str">
        <x:v>gemini-3.5-flash</x:v>
      </x:c>
      <x:c r="D26" s="17" t="str">
        <x:v>generic_issue</x:v>
      </x:c>
      <x:c r="E26" s="18" t="str">
        <x:v>UCSB Administrators Quietly Move Commencement Back to Campus After Realizing Angry Seniors Already Have Pitchforks Left Over from Deltopia</x:v>
      </x:c>
      <x:c r="F26" s="17" t="n">
        <x:v>4</x:v>
      </x:c>
      <x:c r="G26" s="17" t="n">
        <x:v>4</x:v>
      </x:c>
      <x:c r="H26" s="17" t="n">
        <x:v>3</x:v>
      </x:c>
      <x:c r="I26" s="17" t="n">
        <x:v>4</x:v>
      </x:c>
      <x:c r="J26" s="17" t="n">
        <x:v>4</x:v>
      </x:c>
      <x:c r="K26" s="18" t="str"/>
      <x:c r="L26" s="18" t="str">
        <x:v>Student-outcry angle works; Deltopia pitchforks are funny but a bit tangential.</x:v>
      </x:c>
      <x:c r="M26" s="18" t="str">
        <x:v>gpt-5.5-thinking</x:v>
      </x:c>
      <x:c r="N26" s="17" t="n">
        <x:f>SUM(F26:J26)</x:f>
        <x:v>19</x:v>
      </x:c>
    </x:row>
    <x:row r="27">
      <x:c r="A27" s="17" t="str">
        <x:v>local_satire_7c6afab5d4</x:v>
      </x:c>
      <x:c r="B27" s="17" t="str">
        <x:v>ucsb_commencement_reversal_001</x:v>
      </x:c>
      <x:c r="C27" s="17" t="str">
        <x:v>gemini-3.5-flash</x:v>
      </x:c>
      <x:c r="D27" s="17" t="str">
        <x:v>source_grounded</x:v>
      </x:c>
      <x:c r="E27" s="18" t="str">
        <x:v>UCSB Administrators Relieved To Learn Students Unbothered By Having High School and College Graduations Ruined</x:v>
      </x:c>
      <x:c r="F27" s="17" t="n">
        <x:v>4</x:v>
      </x:c>
      <x:c r="G27" s="17" t="n">
        <x:v>3</x:v>
      </x:c>
      <x:c r="H27" s="17" t="n">
        <x:v>4</x:v>
      </x:c>
      <x:c r="I27" s="17" t="n">
        <x:v>4</x:v>
      </x:c>
      <x:c r="J27" s="17" t="n">
        <x:v>4</x:v>
      </x:c>
      <x:c r="K27" s="18" t="str"/>
      <x:c r="L27" s="18" t="str">
        <x:v>Interesting COVID/high-school graduation angle; less UCSB-specific than top entries.</x:v>
      </x:c>
      <x:c r="M27" s="18" t="str">
        <x:v>gpt-5.5-thinking</x:v>
      </x:c>
      <x:c r="N27" s="17" t="n">
        <x:f>SUM(F27:J27)</x:f>
        <x:v>19</x:v>
      </x:c>
    </x:row>
    <x:row r="28">
      <x:c r="A28" s="17" t="str">
        <x:v>local_satire_d3ec4a61fb</x:v>
      </x:c>
      <x:c r="B28" s="17" t="str">
        <x:v>ucsb_commencement_reversal_001</x:v>
      </x:c>
      <x:c r="C28" s="17" t="str">
        <x:v>gemini-3.5-flash</x:v>
      </x:c>
      <x:c r="D28" s="17" t="str">
        <x:v>target_first_rank</x:v>
      </x:c>
      <x:c r="E28" s="18" t="str">
        <x:v>UCSB Grads Relieved They Will Now Get To Walk Across Scenic Lawn Instead Of Chain-Link Security Perimeter</x:v>
      </x:c>
      <x:c r="F28" s="17" t="n">
        <x:v>5</x:v>
      </x:c>
      <x:c r="G28" s="17" t="n">
        <x:v>5</x:v>
      </x:c>
      <x:c r="H28" s="17" t="n">
        <x:v>5</x:v>
      </x:c>
      <x:c r="I28" s="17" t="n">
        <x:v>5</x:v>
      </x:c>
      <x:c r="J28" s="17" t="n">
        <x:v>5</x:v>
      </x:c>
      <x:c r="K28" s="18" t="str"/>
      <x:c r="L28" s="18" t="str">
        <x:v>Excellent: scenic lawn vs security perimeter captures the real institutional tension.</x:v>
      </x:c>
      <x:c r="M28" s="18" t="str">
        <x:v>gpt-5.5-thinking</x:v>
      </x:c>
      <x:c r="N28" s="17" t="n">
        <x:f>SUM(F28:J28)</x:f>
        <x:v>25</x:v>
      </x:c>
    </x:row>
    <x:row r="29">
      <x:c r="A29" s="17" t="str">
        <x:v>local_satire_4ca9cbf762</x:v>
      </x:c>
      <x:c r="B29" s="17" t="str">
        <x:v>ucsb_commencement_reversal_001</x:v>
      </x:c>
      <x:c r="C29" s="17" t="str">
        <x:v>gpt-5.4-mini</x:v>
      </x:c>
      <x:c r="D29" s="17" t="str">
        <x:v>generic_issue</x:v>
      </x:c>
      <x:c r="E29" s="18" t="str">
        <x:v>UCSB Reverses Commencement Relocation After Students Remind Administrators That “The Beach” Is Still Right There</x:v>
      </x:c>
      <x:c r="F29" s="17" t="n">
        <x:v>4</x:v>
      </x:c>
      <x:c r="G29" s="17" t="n">
        <x:v>5</x:v>
      </x:c>
      <x:c r="H29" s="17" t="n">
        <x:v>3</x:v>
      </x:c>
      <x:c r="I29" s="17" t="n">
        <x:v>3</x:v>
      </x:c>
      <x:c r="J29" s="17" t="n">
        <x:v>5</x:v>
      </x:c>
      <x:c r="K29" s="18" t="str">
        <x:v>grounded_but_not_funny</x:v>
      </x:c>
      <x:c r="L29" s="18" t="str">
        <x:v>Local beach/lawn appeal is coherent, but the satirical target is mild.</x:v>
      </x:c>
      <x:c r="M29" s="18" t="str">
        <x:v>gpt-5.5-thinking</x:v>
      </x:c>
      <x:c r="N29" s="17" t="n">
        <x:f>SUM(F29:J29)</x:f>
        <x:v>20</x:v>
      </x:c>
    </x:row>
    <x:row r="30">
      <x:c r="A30" s="17" t="str">
        <x:v>local_satire_20509c7a5b</x:v>
      </x:c>
      <x:c r="B30" s="17" t="str">
        <x:v>ucsb_commencement_reversal_001</x:v>
      </x:c>
      <x:c r="C30" s="17" t="str">
        <x:v>gpt-5.4-mini</x:v>
      </x:c>
      <x:c r="D30" s="17" t="str">
        <x:v>source_grounded</x:v>
      </x:c>
      <x:c r="E30" s="18" t="str">
        <x:v>UCSB, After Briefly Treating Commencement Like a Security Threat, Restores Students’ Right to Graduate on Lagoon Lawn</x:v>
      </x:c>
      <x:c r="F30" s="17" t="n">
        <x:v>5</x:v>
      </x:c>
      <x:c r="G30" s="17" t="n">
        <x:v>5</x:v>
      </x:c>
      <x:c r="H30" s="17" t="n">
        <x:v>5</x:v>
      </x:c>
      <x:c r="I30" s="17" t="n">
        <x:v>4</x:v>
      </x:c>
      <x:c r="J30" s="17" t="n">
        <x:v>5</x:v>
      </x:c>
      <x:c r="K30" s="18" t="str"/>
      <x:c r="L30" s="18" t="str">
        <x:v>Strong source-grounded institutional critique; slightly more headline-summary than joke.</x:v>
      </x:c>
      <x:c r="M30" s="18" t="str">
        <x:v>gpt-5.5-thinking</x:v>
      </x:c>
      <x:c r="N30" s="17" t="n">
        <x:f>SUM(F30:J30)</x:f>
        <x:v>24</x:v>
      </x:c>
    </x:row>
    <x:row r="31">
      <x:c r="A31" s="17" t="str">
        <x:v>local_satire_c673bd6628</x:v>
      </x:c>
      <x:c r="B31" s="17" t="str">
        <x:v>ucsb_commencement_reversal_001</x:v>
      </x:c>
      <x:c r="C31" s="17" t="str">
        <x:v>gpt-5.4-mini</x:v>
      </x:c>
      <x:c r="D31" s="17" t="str">
        <x:v>target_first_rank</x:v>
      </x:c>
      <x:c r="E31" s="18" t="str">
        <x:v>UCSB Reverses Plan to Move Commencement After Realizing Students Were Looking Forward to Graduating Somewhere Nice</x:v>
      </x:c>
      <x:c r="F31" s="17" t="n">
        <x:v>5</x:v>
      </x:c>
      <x:c r="G31" s="17" t="n">
        <x:v>4</x:v>
      </x:c>
      <x:c r="H31" s="17" t="n">
        <x:v>3</x:v>
      </x:c>
      <x:c r="I31" s="17" t="n">
        <x:v>3</x:v>
      </x:c>
      <x:c r="J31" s="17" t="n">
        <x:v>5</x:v>
      </x:c>
      <x:c r="K31" s="18" t="str">
        <x:v>grounded_but_not_funny</x:v>
      </x:c>
      <x:c r="L31" s="18" t="str">
        <x:v>Relevant and coherent, but mostly says 'students wanted a nice place' plainly.</x:v>
      </x:c>
      <x:c r="M31" s="18" t="str">
        <x:v>gpt-5.5-thinking</x:v>
      </x:c>
      <x:c r="N31" s="17" t="n">
        <x:f>SUM(F31:J31)</x:f>
        <x:v>20</x:v>
      </x:c>
    </x:row>
    <x:row r="32">
      <x:c r="A32" s="17" t="str">
        <x:v>local_satire_f2a4395177</x:v>
      </x:c>
      <x:c r="B32" s="17" t="str">
        <x:v>extravaganza_lineup_announcement_001</x:v>
      </x:c>
      <x:c r="C32" s="17" t="str">
        <x:v>gemini-3.5-flash</x:v>
      </x:c>
      <x:c r="D32" s="17" t="str">
        <x:v>generic_issue</x:v>
      </x:c>
      <x:c r="E32" s="18" t="str">
        <x:v>ASSU Admits Extravaganza 2026 Lineup Was Generated by Asking ChatGPT to Describe a ‘Vaguely Coachella-Adjacent Fever Dream’**</x:v>
      </x:c>
      <x:c r="F32" s="17" t="n">
        <x:v>4</x:v>
      </x:c>
      <x:c r="G32" s="17" t="n">
        <x:v>2</x:v>
      </x:c>
      <x:c r="H32" s="17" t="n">
        <x:v>4</x:v>
      </x:c>
      <x:c r="I32" s="17" t="n">
        <x:v>4</x:v>
      </x:c>
      <x:c r="J32" s="17" t="n">
        <x:v>4</x:v>
      </x:c>
      <x:c r="K32" s="18" t="str">
        <x:v>hallucinated_local_detail</x:v>
      </x:c>
      <x:c r="L32" s="18" t="str">
        <x:v>Lineup taste joke works, but 'ASSU' is not the UCSB event org and weakens local grounding.</x:v>
      </x:c>
      <x:c r="M32" s="18" t="str">
        <x:v>gpt-5.5-thinking</x:v>
      </x:c>
      <x:c r="N32" s="17" t="n">
        <x:f>SUM(F32:J32)</x:f>
        <x:v>18</x:v>
      </x:c>
    </x:row>
    <x:row r="33">
      <x:c r="A33" s="17" t="str">
        <x:v>local_satire_1658c60821</x:v>
      </x:c>
      <x:c r="B33" s="17" t="str">
        <x:v>extravaganza_lineup_announcement_001</x:v>
      </x:c>
      <x:c r="C33" s="17" t="str">
        <x:v>gemini-3.5-flash</x:v>
      </x:c>
      <x:c r="D33" s="17" t="str">
        <x:v>source_grounded</x:v>
      </x:c>
      <x:c r="E33" s="18" t="str">
        <x:v>UCSB Student Body Briefly Pauses Relentless Cyberbullying Of Event Organizers After Dominic Fike Lineup Announcement</x:v>
      </x:c>
      <x:c r="F33" s="17" t="n">
        <x:v>5</x:v>
      </x:c>
      <x:c r="G33" s="17" t="n">
        <x:v>5</x:v>
      </x:c>
      <x:c r="H33" s="17" t="n">
        <x:v>5</x:v>
      </x:c>
      <x:c r="I33" s="17" t="n">
        <x:v>4</x:v>
      </x:c>
      <x:c r="J33" s="17" t="n">
        <x:v>5</x:v>
      </x:c>
      <x:c r="K33" s="18" t="str"/>
      <x:c r="L33" s="18" t="str">
        <x:v>Good student-reaction/organizer-harassment target around Dominic Fike announcement.</x:v>
      </x:c>
      <x:c r="M33" s="18" t="str">
        <x:v>gpt-5.5-thinking</x:v>
      </x:c>
      <x:c r="N33" s="17" t="n">
        <x:f>SUM(F33:J33)</x:f>
        <x:v>24</x:v>
      </x:c>
    </x:row>
    <x:row r="34">
      <x:c r="A34" s="17" t="str">
        <x:v>local_satire_66cbd47184</x:v>
      </x:c>
      <x:c r="B34" s="17" t="str">
        <x:v>extravaganza_lineup_announcement_001</x:v>
      </x:c>
      <x:c r="C34" s="17" t="str">
        <x:v>gemini-3.5-flash</x:v>
      </x:c>
      <x:c r="D34" s="17" t="str">
        <x:v>target_first_rank</x:v>
      </x:c>
      <x:c r="E34" s="18" t="str">
        <x:v>ASPB Organizers Quietly Lock Themselves in Office After Announcing Dominic Fike Instead of Reincarnated Jimi Hendrix</x:v>
      </x:c>
      <x:c r="F34" s="17" t="n">
        <x:v>4</x:v>
      </x:c>
      <x:c r="G34" s="17" t="n">
        <x:v>4</x:v>
      </x:c>
      <x:c r="H34" s="17" t="n">
        <x:v>3</x:v>
      </x:c>
      <x:c r="I34" s="17" t="n">
        <x:v>4</x:v>
      </x:c>
      <x:c r="J34" s="17" t="n">
        <x:v>4</x:v>
      </x:c>
      <x:c r="K34" s="18" t="str"/>
      <x:c r="L34" s="18" t="str">
        <x:v>Captures impossible expectations, but Jimi Hendrix comparison is broad and less source-specific.</x:v>
      </x:c>
      <x:c r="M34" s="18" t="str">
        <x:v>gpt-5.5-thinking</x:v>
      </x:c>
      <x:c r="N34" s="17" t="n">
        <x:f>SUM(F34:J34)</x:f>
        <x:v>19</x:v>
      </x:c>
    </x:row>
    <x:row r="35">
      <x:c r="A35" s="17" t="str">
        <x:v>local_satire_22c2f865e7</x:v>
      </x:c>
      <x:c r="B35" s="17" t="str">
        <x:v>extravaganza_lineup_announcement_001</x:v>
      </x:c>
      <x:c r="C35" s="17" t="str">
        <x:v>gpt-5.4-mini</x:v>
      </x:c>
      <x:c r="D35" s="17" t="str">
        <x:v>generic_issue</x:v>
      </x:c>
      <x:c r="E35" s="18" t="str">
        <x:v>Campus Erupts as Extravaganza 2026 Lineup Finally Gives Students Exactly One Artist They’ve Pretended to Like Since Freshman Year</x:v>
      </x:c>
      <x:c r="F35" s="17" t="n">
        <x:v>5</x:v>
      </x:c>
      <x:c r="G35" s="17" t="n">
        <x:v>4</x:v>
      </x:c>
      <x:c r="H35" s="17" t="n">
        <x:v>4</x:v>
      </x:c>
      <x:c r="I35" s="17" t="n">
        <x:v>4</x:v>
      </x:c>
      <x:c r="J35" s="17" t="n">
        <x:v>5</x:v>
      </x:c>
      <x:c r="K35" s="18" t="str"/>
      <x:c r="L35" s="18" t="str">
        <x:v>Solid social-performance joke about knowing the headliner.</x:v>
      </x:c>
      <x:c r="M35" s="18" t="str">
        <x:v>gpt-5.5-thinking</x:v>
      </x:c>
      <x:c r="N35" s="17" t="n">
        <x:f>SUM(F35:J35)</x:f>
        <x:v>22</x:v>
      </x:c>
    </x:row>
    <x:row r="36">
      <x:c r="A36" s="17" t="str">
        <x:v>local_satire_25687b6272</x:v>
      </x:c>
      <x:c r="B36" s="17" t="str">
        <x:v>extravaganza_lineup_announcement_001</x:v>
      </x:c>
      <x:c r="C36" s="17" t="str">
        <x:v>gpt-5.4-mini</x:v>
      </x:c>
      <x:c r="D36" s="17" t="str">
        <x:v>source_grounded</x:v>
      </x:c>
      <x:c r="E36" s="18" t="str">
        <x:v>UCSB Students React to Extravaganza 2026 Lineup by Comparing It to Every Headliner They’ve Ever Seen on Instagram</x:v>
      </x:c>
      <x:c r="F36" s="17" t="n">
        <x:v>5</x:v>
      </x:c>
      <x:c r="G36" s="17" t="n">
        <x:v>4</x:v>
      </x:c>
      <x:c r="H36" s="17" t="n">
        <x:v>4</x:v>
      </x:c>
      <x:c r="I36" s="17" t="n">
        <x:v>3</x:v>
      </x:c>
      <x:c r="J36" s="17" t="n">
        <x:v>5</x:v>
      </x:c>
      <x:c r="K36" s="18" t="str">
        <x:v>grounded_but_not_funny</x:v>
      </x:c>
      <x:c r="L36" s="18" t="str">
        <x:v>Relevant and believable, but weaker comic turn.</x:v>
      </x:c>
      <x:c r="M36" s="18" t="str">
        <x:v>gpt-5.5-thinking</x:v>
      </x:c>
      <x:c r="N36" s="17" t="n">
        <x:f>SUM(F36:J36)</x:f>
        <x:v>21</x:v>
      </x:c>
    </x:row>
    <x:row r="37">
      <x:c r="A37" s="17" t="str">
        <x:v>local_satire_586c1b2444</x:v>
      </x:c>
      <x:c r="B37" s="17" t="str">
        <x:v>extravaganza_lineup_announcement_001</x:v>
      </x:c>
      <x:c r="C37" s="17" t="str">
        <x:v>gpt-5.4-mini</x:v>
      </x:c>
      <x:c r="D37" s="17" t="str">
        <x:v>target_first_rank</x:v>
      </x:c>
      <x:c r="E37" s="18" t="str">
        <x:v>UCSB Students Declare Extravaganza 2026 “Actually Pretty Good” After Briefly Pretending To Know All Four Artists</x:v>
      </x:c>
      <x:c r="F37" s="17" t="n">
        <x:v>5</x:v>
      </x:c>
      <x:c r="G37" s="17" t="n">
        <x:v>4</x:v>
      </x:c>
      <x:c r="H37" s="17" t="n">
        <x:v>5</x:v>
      </x:c>
      <x:c r="I37" s="17" t="n">
        <x:v>5</x:v>
      </x:c>
      <x:c r="J37" s="17" t="n">
        <x:v>5</x:v>
      </x:c>
      <x:c r="K37" s="18" t="str"/>
      <x:c r="L37" s="18" t="str">
        <x:v>Very strong: targets student status-performance around recognizing all four artists.</x:v>
      </x:c>
      <x:c r="M37" s="18" t="str">
        <x:v>gpt-5.5-thinking</x:v>
      </x:c>
      <x:c r="N37" s="17" t="n">
        <x:f>SUM(F37:J37)</x:f>
        <x:v>24</x:v>
      </x:c>
    </x:row>
    <x:row r="38">
      <x:c r="A38" s="17" t="str">
        <x:v>human_baseline_deltopia_alternative_001</x:v>
      </x:c>
      <x:c r="B38" s="17" t="str">
        <x:v>deltopia_alternative_001</x:v>
      </x:c>
      <x:c r="C38" s="17" t="str">
        <x:v>human_nexustentialism</x:v>
      </x:c>
      <x:c r="D38" s="17" t="str">
        <x:v>human_baseline</x:v>
      </x:c>
      <x:c r="E38" s="18" t="str">
        <x:v>Deltopia canceled, UCSB to shut down permanently</x:v>
      </x:c>
      <x:c r="F38" s="17" t="n">
        <x:v>4</x:v>
      </x:c>
      <x:c r="G38" s="17" t="n">
        <x:v>5</x:v>
      </x:c>
      <x:c r="H38" s="17" t="n">
        <x:v>4</x:v>
      </x:c>
      <x:c r="I38" s="17" t="n">
        <x:v>4</x:v>
      </x:c>
      <x:c r="J38" s="17" t="n">
        <x:v>4</x:v>
      </x:c>
      <x:c r="K38" s="18" t="str"/>
      <x:c r="L38" s="18" t="str">
        <x:v>Actual-style hyperbole: treats Deltopia as so central that cancellation kills the institution.</x:v>
      </x:c>
      <x:c r="M38" s="18" t="str">
        <x:v>gpt-5.5-thinking</x:v>
      </x:c>
      <x:c r="N38" s="17" t="n">
        <x:f>SUM(F38:J38)</x:f>
        <x:v>21</x:v>
      </x:c>
    </x:row>
    <x:row r="39">
      <x:c r="A39" s="17" t="str">
        <x:v>human_baseline_ucsb_bear_sighting_001</x:v>
      </x:c>
      <x:c r="B39" s="17" t="str">
        <x:v>ucsb_bear_sighting_001</x:v>
      </x:c>
      <x:c r="C39" s="17" t="str">
        <x:v>human_nexustentialism</x:v>
      </x:c>
      <x:c r="D39" s="17" t="str">
        <x:v>human_baseline</x:v>
      </x:c>
      <x:c r="E39" s="18" t="str">
        <x:v>Bear shows up too late for Deltopis :(</x:v>
      </x:c>
      <x:c r="F39" s="17" t="n">
        <x:v>3</x:v>
      </x:c>
      <x:c r="G39" s="17" t="n">
        <x:v>5</x:v>
      </x:c>
      <x:c r="H39" s="17" t="n">
        <x:v>2</x:v>
      </x:c>
      <x:c r="I39" s="17" t="n">
        <x:v>4</x:v>
      </x:c>
      <x:c r="J39" s="17" t="n">
        <x:v>3</x:v>
      </x:c>
      <x:c r="K39" s="18" t="str">
        <x:v>funny_but_not_grounded</x:v>
      </x:c>
      <x:c r="L39" s="18" t="str">
        <x:v>Whimsical local timing joke; funny voice, but lightly connected to the bear-alert source tension.</x:v>
      </x:c>
      <x:c r="M39" s="18" t="str">
        <x:v>gpt-5.5-thinking</x:v>
      </x:c>
      <x:c r="N39" s="17" t="n">
        <x:f>SUM(F39:J39)</x:f>
        <x:v>17</x:v>
      </x:c>
    </x:row>
    <x:row r="40">
      <x:c r="A40" s="17" t="str">
        <x:v>human_baseline_jesus_burgers_001</x:v>
      </x:c>
      <x:c r="B40" s="17" t="str">
        <x:v>jesus_burgers_001</x:v>
      </x:c>
      <x:c r="C40" s="17" t="str">
        <x:v>human_nexustentialism</x:v>
      </x:c>
      <x:c r="D40" s="17" t="str">
        <x:v>human_baseline</x:v>
      </x:c>
      <x:c r="E40" s="18" t="str">
        <x:v>Jesus Burgers replaced by Satan’s Hot Dogs</x:v>
      </x:c>
      <x:c r="F40" s="17" t="n">
        <x:v>4</x:v>
      </x:c>
      <x:c r="G40" s="17" t="n">
        <x:v>5</x:v>
      </x:c>
      <x:c r="H40" s="17" t="n">
        <x:v>4</x:v>
      </x:c>
      <x:c r="I40" s="17" t="n">
        <x:v>5</x:v>
      </x:c>
      <x:c r="J40" s="17" t="n">
        <x:v>5</x:v>
      </x:c>
      <x:c r="K40" s="18" t="str"/>
      <x:c r="L40" s="18" t="str">
        <x:v>Simple polarity flip with strong local brand recognition and clean comic premise.</x:v>
      </x:c>
      <x:c r="M40" s="18" t="str">
        <x:v>gpt-5.5-thinking</x:v>
      </x:c>
      <x:c r="N40" s="17" t="n">
        <x:f>SUM(F40:J40)</x:f>
        <x:v>23</x:v>
      </x:c>
    </x:row>
    <x:row r="41">
      <x:c r="A41" s="17" t="str">
        <x:v>human_baseline_iv_parking_compliance_001</x:v>
      </x:c>
      <x:c r="B41" s="17" t="str">
        <x:v>iv_parking_compliance_001</x:v>
      </x:c>
      <x:c r="C41" s="17" t="str">
        <x:v>human_nexustentialism</x:v>
      </x:c>
      <x:c r="D41" s="17" t="str">
        <x:v>human_baseline</x:v>
      </x:c>
      <x:c r="E41" s="18" t="str">
        <x:v>parking scarcity drives students to stack cars</x:v>
      </x:c>
      <x:c r="F41" s="17" t="n">
        <x:v>4</x:v>
      </x:c>
      <x:c r="G41" s="17" t="n">
        <x:v>5</x:v>
      </x:c>
      <x:c r="H41" s="17" t="n">
        <x:v>4</x:v>
      </x:c>
      <x:c r="I41" s="17" t="n">
        <x:v>5</x:v>
      </x:c>
      <x:c r="J41" s="17" t="n">
        <x:v>5</x:v>
      </x:c>
      <x:c r="K41" s="18" t="str"/>
      <x:c r="L41" s="18" t="str">
        <x:v>Good IV parking scarcity exaggeration; less tied to Tina/72-hour enforcement but nails the local pressure.</x:v>
      </x:c>
      <x:c r="M41" s="18" t="str">
        <x:v>gpt-5.5-thinking</x:v>
      </x:c>
      <x:c r="N41" s="17" t="n">
        <x:f>SUM(F41:J41)</x:f>
        <x:v>23</x:v>
      </x:c>
    </x:row>
    <x:row r="42">
      <x:c r="A42" s="17" t="str">
        <x:v>human_baseline_ucsb_commencement_reversal_001</x:v>
      </x:c>
      <x:c r="B42" s="17" t="str">
        <x:v>ucsb_commencement_reversal_001</x:v>
      </x:c>
      <x:c r="C42" s="17" t="str">
        <x:v>human_nexustentialism</x:v>
      </x:c>
      <x:c r="D42" s="17" t="str">
        <x:v>human_baseline</x:v>
      </x:c>
      <x:c r="E42" s="18" t="str">
        <x:v>Commencement relocated to Girvetz room 1112, maximum capacity 40</x:v>
      </x:c>
      <x:c r="F42" s="17" t="n">
        <x:v>5</x:v>
      </x:c>
      <x:c r="G42" s="17" t="n">
        <x:v>5</x:v>
      </x:c>
      <x:c r="H42" s="17" t="n">
        <x:v>5</x:v>
      </x:c>
      <x:c r="I42" s="17" t="n">
        <x:v>5</x:v>
      </x:c>
      <x:c r="J42" s="17" t="n">
        <x:v>5</x:v>
      </x:c>
      <x:c r="K42" s="18" t="str"/>
      <x:c r="L42" s="18" t="str">
        <x:v>Excellent local specificity and absurd downscaling; directly targets venue/ticket-cap anxiety.</x:v>
      </x:c>
      <x:c r="M42" s="18" t="str">
        <x:v>gpt-5.5-thinking</x:v>
      </x:c>
      <x:c r="N42" s="17" t="n">
        <x:f>SUM(F42:J42)</x:f>
        <x:v>25</x:v>
      </x:c>
    </x:row>
    <x:row r="43">
      <x:c r="A43" s="17" t="str">
        <x:v>human_baseline_extravaganza_lineup_announcement_001</x:v>
      </x:c>
      <x:c r="B43" s="17" t="str">
        <x:v>extravaganza_lineup_announcement_001</x:v>
      </x:c>
      <x:c r="C43" s="17" t="str">
        <x:v>human_nexustentialism</x:v>
      </x:c>
      <x:c r="D43" s="17" t="str">
        <x:v>human_baseline</x:v>
      </x:c>
      <x:c r="E43" s="18" t="str">
        <x:v>Extravaganza lineup unites gays and straights alike</x:v>
      </x:c>
      <x:c r="F43" s="17" t="n">
        <x:v>4</x:v>
      </x:c>
      <x:c r="G43" s="17" t="n">
        <x:v>4</x:v>
      </x:c>
      <x:c r="H43" s="17" t="n">
        <x:v>4</x:v>
      </x:c>
      <x:c r="I43" s="17" t="n">
        <x:v>5</x:v>
      </x:c>
      <x:c r="J43" s="17" t="n">
        <x:v>5</x:v>
      </x:c>
      <x:c r="K43" s="18" t="str"/>
      <x:c r="L43" s="18" t="str">
        <x:v>Strong social-coalition joke around lineup taste; very compact actual-satire voice.</x:v>
      </x:c>
      <x:c r="M43" s="18" t="str">
        <x:v>gpt-5.5-thinking</x:v>
      </x:c>
      <x:c r="N43" s="17" t="n">
        <x:f>SUM(F43:J43)</x:f>
        <x:v>22</x:v>
      </x:c>
    </x:row>
  </x:sheetData>
  <x:conditionalFormatting sqref="F2:F4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G2:G43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H2:H43">
    <x:cfRule type="colorScale" priority="3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I2:I43">
    <x:cfRule type="colorScale" priority="4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J2:J43">
    <x:cfRule type="colorScale" priority="5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N2:N43">
    <x:cfRule type="colorScale" priority="6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c6ad039196e48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model</x:v>
      </x:c>
      <x:c r="B1" s="4" t="str">
        <x:v>n</x:v>
      </x:c>
      <x:c r="C1" s="4" t="str">
        <x:v>source_relevance</x:v>
      </x:c>
      <x:c r="D1" s="4" t="str">
        <x:v>local_specificity</x:v>
      </x:c>
      <x:c r="E1" s="4" t="str">
        <x:v>topic_nuance_target</x:v>
      </x:c>
      <x:c r="F1" s="4" t="str">
        <x:v>satirical_bite</x:v>
      </x:c>
      <x:c r="G1" s="4" t="str">
        <x:v>coherence_nonrandomness</x:v>
      </x:c>
      <x:c r="H1" s="4" t="str">
        <x:v>avg_total_score</x:v>
      </x:c>
    </x:row>
    <x:row r="2">
      <x:c r="A2" t="str">
        <x:v>gemini-3.5-flash</x:v>
      </x:c>
      <x:c r="B2" t="n">
        <x:v>18</x:v>
      </x:c>
      <x:c r="C2" t="n">
        <x:v>4.39</x:v>
      </x:c>
      <x:c r="D2" t="n">
        <x:v>4.22</x:v>
      </x:c>
      <x:c r="E2" t="n">
        <x:v>4.17</x:v>
      </x:c>
      <x:c r="F2" t="n">
        <x:v>4.17</x:v>
      </x:c>
      <x:c r="G2" t="n">
        <x:v>4.28</x:v>
      </x:c>
      <x:c r="H2" t="n">
        <x:v>21.22</x:v>
      </x:c>
    </x:row>
    <x:row r="3">
      <x:c r="A3" t="str">
        <x:v>gpt-5.4-mini</x:v>
      </x:c>
      <x:c r="B3" t="n">
        <x:v>18</x:v>
      </x:c>
      <x:c r="C3" t="n">
        <x:v>4.78</x:v>
      </x:c>
      <x:c r="D3" t="n">
        <x:v>4.39</x:v>
      </x:c>
      <x:c r="E3" t="n">
        <x:v>3.78</x:v>
      </x:c>
      <x:c r="F3" t="n">
        <x:v>3.67</x:v>
      </x:c>
      <x:c r="G3" t="n">
        <x:v>4.83</x:v>
      </x:c>
      <x:c r="H3" t="n">
        <x:v>21.44</x:v>
      </x:c>
    </x:row>
    <x:row r="4">
      <x:c r="A4" t="str">
        <x:v>human_nexustentialism</x:v>
      </x:c>
      <x:c r="B4" t="n">
        <x:v>6</x:v>
      </x:c>
      <x:c r="C4" t="n">
        <x:v>4</x:v>
      </x:c>
      <x:c r="D4" t="n">
        <x:v>4.83</x:v>
      </x:c>
      <x:c r="E4" t="n">
        <x:v>3.83</x:v>
      </x:c>
      <x:c r="F4" t="n">
        <x:v>4.67</x:v>
      </x:c>
      <x:c r="G4" t="n">
        <x:v>4.5</x:v>
      </x:c>
      <x:c r="H4" t="n">
        <x:v>21.83</x:v>
      </x:c>
    </x:row>
    <x:row r="7">
      <x:c r="A7" s="4" t="str">
        <x:v>model</x:v>
      </x:c>
      <x:c r="B7" s="4" t="str">
        <x:v>prompt_condition</x:v>
      </x:c>
      <x:c r="C7" s="4" t="str">
        <x:v>n</x:v>
      </x:c>
      <x:c r="D7" s="4" t="str">
        <x:v>source_relevance</x:v>
      </x:c>
      <x:c r="E7" s="4" t="str">
        <x:v>local_specificity</x:v>
      </x:c>
      <x:c r="F7" s="4" t="str">
        <x:v>topic_nuance_target</x:v>
      </x:c>
      <x:c r="G7" s="4" t="str">
        <x:v>satirical_bite</x:v>
      </x:c>
      <x:c r="H7" s="4" t="str">
        <x:v>coherence_nonrandomness</x:v>
      </x:c>
      <x:c r="I7" s="4" t="str">
        <x:v>avg_total_score</x:v>
      </x:c>
    </x:row>
    <x:row r="8">
      <x:c r="A8" t="str">
        <x:v>gemini-3.5-flash</x:v>
      </x:c>
      <x:c r="B8" t="str">
        <x:v>generic_issue</x:v>
      </x:c>
      <x:c r="C8" t="n">
        <x:v>6</x:v>
      </x:c>
      <x:c r="D8" t="n">
        <x:v>4</x:v>
      </x:c>
      <x:c r="E8" t="n">
        <x:v>4</x:v>
      </x:c>
      <x:c r="F8" t="n">
        <x:v>3.67</x:v>
      </x:c>
      <x:c r="G8" t="n">
        <x:v>4.17</x:v>
      </x:c>
      <x:c r="H8" t="n">
        <x:v>4.17</x:v>
      </x:c>
      <x:c r="I8" t="n">
        <x:v>20</x:v>
      </x:c>
    </x:row>
    <x:row r="9">
      <x:c r="A9" t="str">
        <x:v>gemini-3.5-flash</x:v>
      </x:c>
      <x:c r="B9" t="str">
        <x:v>source_grounded</x:v>
      </x:c>
      <x:c r="C9" t="n">
        <x:v>6</x:v>
      </x:c>
      <x:c r="D9" t="n">
        <x:v>4.5</x:v>
      </x:c>
      <x:c r="E9" t="n">
        <x:v>4.17</x:v>
      </x:c>
      <x:c r="F9" t="n">
        <x:v>4.5</x:v>
      </x:c>
      <x:c r="G9" t="n">
        <x:v>4</x:v>
      </x:c>
      <x:c r="H9" t="n">
        <x:v>4.5</x:v>
      </x:c>
      <x:c r="I9" t="n">
        <x:v>21.67</x:v>
      </x:c>
    </x:row>
    <x:row r="10">
      <x:c r="A10" t="str">
        <x:v>gemini-3.5-flash</x:v>
      </x:c>
      <x:c r="B10" t="str">
        <x:v>target_first_rank</x:v>
      </x:c>
      <x:c r="C10" t="n">
        <x:v>6</x:v>
      </x:c>
      <x:c r="D10" t="n">
        <x:v>4.67</x:v>
      </x:c>
      <x:c r="E10" t="n">
        <x:v>4.5</x:v>
      </x:c>
      <x:c r="F10" t="n">
        <x:v>4.33</x:v>
      </x:c>
      <x:c r="G10" t="n">
        <x:v>4.33</x:v>
      </x:c>
      <x:c r="H10" t="n">
        <x:v>4.17</x:v>
      </x:c>
      <x:c r="I10" t="n">
        <x:v>22</x:v>
      </x:c>
    </x:row>
    <x:row r="11">
      <x:c r="A11" t="str">
        <x:v>gpt-5.4-mini</x:v>
      </x:c>
      <x:c r="B11" t="str">
        <x:v>generic_issue</x:v>
      </x:c>
      <x:c r="C11" t="n">
        <x:v>6</x:v>
      </x:c>
      <x:c r="D11" t="n">
        <x:v>4.5</x:v>
      </x:c>
      <x:c r="E11" t="n">
        <x:v>4.5</x:v>
      </x:c>
      <x:c r="F11" t="n">
        <x:v>3.5</x:v>
      </x:c>
      <x:c r="G11" t="n">
        <x:v>3.5</x:v>
      </x:c>
      <x:c r="H11" t="n">
        <x:v>4.83</x:v>
      </x:c>
      <x:c r="I11" t="n">
        <x:v>20.83</x:v>
      </x:c>
    </x:row>
    <x:row r="12">
      <x:c r="A12" t="str">
        <x:v>gpt-5.4-mini</x:v>
      </x:c>
      <x:c r="B12" t="str">
        <x:v>source_grounded</x:v>
      </x:c>
      <x:c r="C12" t="n">
        <x:v>6</x:v>
      </x:c>
      <x:c r="D12" t="n">
        <x:v>4.83</x:v>
      </x:c>
      <x:c r="E12" t="n">
        <x:v>4.33</x:v>
      </x:c>
      <x:c r="F12" t="n">
        <x:v>4.17</x:v>
      </x:c>
      <x:c r="G12" t="n">
        <x:v>3.67</x:v>
      </x:c>
      <x:c r="H12" t="n">
        <x:v>4.83</x:v>
      </x:c>
      <x:c r="I12" t="n">
        <x:v>21.83</x:v>
      </x:c>
    </x:row>
    <x:row r="13">
      <x:c r="A13" t="str">
        <x:v>gpt-5.4-mini</x:v>
      </x:c>
      <x:c r="B13" t="str">
        <x:v>target_first_rank</x:v>
      </x:c>
      <x:c r="C13" t="n">
        <x:v>6</x:v>
      </x:c>
      <x:c r="D13" t="n">
        <x:v>5</x:v>
      </x:c>
      <x:c r="E13" t="n">
        <x:v>4.33</x:v>
      </x:c>
      <x:c r="F13" t="n">
        <x:v>3.67</x:v>
      </x:c>
      <x:c r="G13" t="n">
        <x:v>3.83</x:v>
      </x:c>
      <x:c r="H13" t="n">
        <x:v>4.83</x:v>
      </x:c>
      <x:c r="I13" t="n">
        <x:v>21.67</x:v>
      </x:c>
    </x:row>
    <x:row r="14">
      <x:c r="A14" t="str">
        <x:v>human_nexustentialism</x:v>
      </x:c>
      <x:c r="B14" t="str">
        <x:v>human_baseline</x:v>
      </x:c>
      <x:c r="C14" t="n">
        <x:v>6</x:v>
      </x:c>
      <x:c r="D14" t="n">
        <x:v>4</x:v>
      </x:c>
      <x:c r="E14" t="n">
        <x:v>4.83</x:v>
      </x:c>
      <x:c r="F14" t="n">
        <x:v>3.83</x:v>
      </x:c>
      <x:c r="G14" t="n">
        <x:v>4.67</x:v>
      </x:c>
      <x:c r="H14" t="n">
        <x:v>4.5</x:v>
      </x:c>
      <x:c r="I14" t="n">
        <x:v>21.83</x:v>
      </x:c>
    </x:row>
    <x:row r="17">
      <x:c r="A17" s="3" t="str">
        <x:v>Scoring notes</x:v>
      </x:c>
    </x:row>
    <x:row r="18">
      <x:c r="A18" s="10" t="str">
        <x:v>Scores are 1-5 per uploaded rubric. total_score is the sum of the five metric columns.</x:v>
      </x:c>
    </x:row>
    <x:row r="19">
      <x:c r="A19" s="10" t="str">
        <x:v>Human baselines were appended as model=human_nexustentialism and prompt_condition=human_baseline.</x:v>
      </x:c>
    </x:row>
    <x:row r="20">
      <x:c r="A20" s="10" t="str">
        <x:v>Failure tags use only the rubric's tag vocabulary.</x:v>
      </x:c>
    </x:row>
  </x:sheetData>
  <x:pageMargins left="0.7" right="0.7" top="0.75" bottom="0.75" header="0.3" footer="0.3"/>
  <x:tableParts count="2">
    <x:tablePart xmlns:r="http://schemas.openxmlformats.org/officeDocument/2006/relationships" r:id="Rb5a12e917a7f4414"/>
    <x:tablePart xmlns:r="http://schemas.openxmlformats.org/officeDocument/2006/relationships" r:id="R9f49621e46864f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4" t="str">
        <x:v># Local Satire Human Scoring Rubric</x:v>
      </x:c>
    </x:row>
    <x:row r="2">
      <x:c r="A2" s="10" t="str"/>
    </x:row>
    <x:row r="3">
      <x:c r="A3" s="10" t="str">
        <x:v>Score each metric from 1 (lowest) to 5 (highest).</x:v>
      </x:c>
    </x:row>
    <x:row r="4">
      <x:c r="A4" s="10" t="str"/>
    </x:row>
    <x:row r="5">
      <x:c r="A5" s="10" t="str">
        <x:v>## Metrics</x:v>
      </x:c>
    </x:row>
    <x:row r="6">
      <x:c r="A6" s="10" t="str"/>
    </x:row>
    <x:row r="7">
      <x:c r="A7" s="10" t="str">
        <x:v>Source relevance: Does the headline clearly respond to the source item?</x:v>
      </x:c>
    </x:row>
    <x:row r="8">
      <x:c r="A8" s="10" t="str"/>
    </x:row>
    <x:row r="9">
      <x:c r="A9" s="10" t="str">
        <x:v>Local specificity: Does it feel specific to UCSB/Isla Vista/Santa Barbara rather than generic college-town satire?</x:v>
      </x:c>
    </x:row>
    <x:row r="10">
      <x:c r="A10" s="10" t="str"/>
    </x:row>
    <x:row r="11">
      <x:c r="A11" s="10" t="str">
        <x:v>Topic nuance / satirical target: Does it identify the underlying institution, behavior, or social tension being mocked?</x:v>
      </x:c>
    </x:row>
    <x:row r="12">
      <x:c r="A12" s="10" t="str"/>
    </x:row>
    <x:row r="13">
      <x:c r="A13" s="10" t="str">
        <x:v>Satirical bite: Is there a clever incongruity or sharp comic turn?</x:v>
      </x:c>
    </x:row>
    <x:row r="14">
      <x:c r="A14" s="10" t="str"/>
    </x:row>
    <x:row r="15">
      <x:c r="A15" s="10" t="str">
        <x:v>Coherence / non-randomness: Does the absurdity make sense rather than being random?</x:v>
      </x:c>
    </x:row>
    <x:row r="16">
      <x:c r="A16" s="10" t="str"/>
    </x:row>
    <x:row r="17">
      <x:c r="A17" s="10" t="str">
        <x:v>## Failure Tags</x:v>
      </x:c>
    </x:row>
    <x:row r="18">
      <x:c r="A18" s="10" t="str"/>
    </x:row>
    <x:row r="19">
      <x:c r="A19" s="10" t="str">
        <x:v>Use comma-separated tags in the failure_tags column when applicable:</x:v>
      </x:c>
    </x:row>
    <x:row r="20">
      <x:c r="A20" s="10" t="str"/>
    </x:row>
    <x:row r="21">
      <x:c r="A21" s="10" t="str">
        <x:v>generic_onion_template</x:v>
      </x:c>
    </x:row>
    <x:row r="22">
      <x:c r="A22" s="10" t="str">
        <x:v>bland_news_summary</x:v>
      </x:c>
    </x:row>
    <x:row r="23">
      <x:c r="A23" s="10" t="str">
        <x:v>random_absurdity</x:v>
      </x:c>
    </x:row>
    <x:row r="24">
      <x:c r="A24" s="10" t="str">
        <x:v>hallucinated_local_detail</x:v>
      </x:c>
    </x:row>
    <x:row r="25">
      <x:c r="A25" s="10" t="str">
        <x:v>misses_source_tension</x:v>
      </x:c>
    </x:row>
    <x:row r="26">
      <x:c r="A26" s="10" t="str">
        <x:v>grounded_but_not_funny</x:v>
      </x:c>
    </x:row>
    <x:row r="27">
      <x:c r="A27" s="10" t="str">
        <x:v>funny_but_not_grounded</x:v>
      </x:c>
    </x:row>
    <x:row r="28">
      <x:c r="A28" s="10" t="str">
        <x:v>template_trap</x:v>
      </x:c>
    </x:row>
    <x:row r="29">
      <x:c r="A29" s="10" t="str">
        <x:v>refusal_or_safety_hedging</x:v>
      </x:c>
    </x:row>
  </x:sheetData>
  <x:pageMargins left="0.7" right="0.7" top="0.75" bottom="0.75" header="0.3" footer="0.3"/>
</x:worksheet>
</file>